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wfarrell/Desktop/muckspreading-app/"/>
    </mc:Choice>
  </mc:AlternateContent>
  <xr:revisionPtr revIDLastSave="0" documentId="13_ncr:1_{FF72110E-95C0-9441-BF30-FEC0EC1233B2}" xr6:coauthVersionLast="47" xr6:coauthVersionMax="47" xr10:uidLastSave="{00000000-0000-0000-0000-000000000000}"/>
  <bookViews>
    <workbookView xWindow="1960" yWindow="660" windowWidth="18580" windowHeight="16640" xr2:uid="{2857BED3-F2AE-4A20-89B3-895979B33317}"/>
  </bookViews>
  <sheets>
    <sheet name="Invoice" sheetId="1" r:id="rId1"/>
  </sheets>
  <externalReferences>
    <externalReference r:id="rId2"/>
  </externalReferences>
  <definedNames>
    <definedName name="Cust_ddown">[1]!Customers[[#This Row],[Customer Name]]</definedName>
    <definedName name="customer_dropdown">[1]!Customers[[#This Row],[Customer Name]]</definedName>
    <definedName name="_xlnm.Print_Area" localSheetId="0">Invoice!$A$1:$G$53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G41" i="1"/>
  <c r="G40" i="1"/>
  <c r="G39" i="1"/>
  <c r="G38" i="1"/>
  <c r="U37" i="1"/>
  <c r="G37" i="1"/>
  <c r="G36" i="1"/>
  <c r="U35" i="1"/>
  <c r="G35" i="1"/>
  <c r="U34" i="1"/>
  <c r="G34" i="1"/>
  <c r="U33" i="1"/>
  <c r="G33" i="1"/>
  <c r="U32" i="1"/>
  <c r="G32" i="1"/>
  <c r="U31" i="1"/>
  <c r="G31" i="1"/>
  <c r="U30" i="1"/>
  <c r="G30" i="1"/>
  <c r="U29" i="1"/>
  <c r="G29" i="1"/>
  <c r="U28" i="1"/>
  <c r="G28" i="1"/>
  <c r="G27" i="1"/>
  <c r="G26" i="1"/>
  <c r="G25" i="1"/>
  <c r="G24" i="1"/>
  <c r="U23" i="1"/>
  <c r="G23" i="1"/>
  <c r="U22" i="1"/>
  <c r="G22" i="1"/>
  <c r="U21" i="1"/>
  <c r="G21" i="1"/>
  <c r="U20" i="1"/>
  <c r="G20" i="1"/>
  <c r="U19" i="1"/>
  <c r="G19" i="1"/>
  <c r="G18" i="1"/>
  <c r="G43" i="1" s="1"/>
  <c r="A13" i="1"/>
  <c r="A12" i="1"/>
  <c r="A11" i="1"/>
  <c r="G10" i="1"/>
  <c r="A10" i="1"/>
  <c r="G44" i="1" l="1"/>
  <c r="G45" i="1" s="1"/>
</calcChain>
</file>

<file path=xl/sharedStrings.xml><?xml version="1.0" encoding="utf-8"?>
<sst xmlns="http://schemas.openxmlformats.org/spreadsheetml/2006/main" count="32" uniqueCount="32">
  <si>
    <t>A. Farrell Contracting</t>
  </si>
  <si>
    <t>Cherry Dene Farm Ltd., Hellington Corner
Bergh Apton, Norwich, Norfolk NR15 1BE
W: www.afarrellcontracting.co.uk
E: andrew@afarrellcontracting.co.uk
T: 07952 683364</t>
  </si>
  <si>
    <t>To:</t>
  </si>
  <si>
    <t>MR P Thain</t>
  </si>
  <si>
    <t>Invoice Date:</t>
  </si>
  <si>
    <t>Invoice No.</t>
  </si>
  <si>
    <t>Terms (DAYS):</t>
  </si>
  <si>
    <t>Muck Spreading @  £3.25/ton, Description/Field Name</t>
  </si>
  <si>
    <t>Product</t>
  </si>
  <si>
    <t>Tons</t>
  </si>
  <si>
    <t>Total</t>
  </si>
  <si>
    <t>Compost Spreading @ Rollesby</t>
  </si>
  <si>
    <t>Total Tons:</t>
  </si>
  <si>
    <t>Subtotal:</t>
  </si>
  <si>
    <t>VAT 20%</t>
  </si>
  <si>
    <t>Total:</t>
  </si>
  <si>
    <t>Thank you for your business!</t>
  </si>
  <si>
    <t>Company Details</t>
  </si>
  <si>
    <t>Payment Details</t>
  </si>
  <si>
    <t>Company No.</t>
  </si>
  <si>
    <t>Acct No.</t>
  </si>
  <si>
    <t>VAT No.</t>
  </si>
  <si>
    <t>Bank</t>
  </si>
  <si>
    <t>Natwest</t>
  </si>
  <si>
    <t>Tel No.</t>
  </si>
  <si>
    <t>07952 683364 / 07899 792123</t>
  </si>
  <si>
    <t>Sort Code</t>
  </si>
  <si>
    <t>53-61-24</t>
  </si>
  <si>
    <t>Email</t>
  </si>
  <si>
    <t>andrew@afarrellcontracting.co.uk</t>
  </si>
  <si>
    <t>Cheque</t>
  </si>
  <si>
    <t>Cherry Dene Farm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</si>
</sst>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£&quot;* #,##0.00_);_(&quot;£&quot;* \(#,##0.00\);_(&quot;£&quot;* &quot;-&quot;??_);_(@_)"/>
    <numFmt numFmtId="43" formatCode="_(* #,##0.00_);_(* \(#,##0.00\);_(* &quot;-&quot;??_);_(@_)"/>
    <numFmt numFmtId="164" formatCode="[$-809]d\ mmmm\ yyyy;@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rgb="FFC00000"/>
      <name val="Aptos Narrow"/>
      <family val="2"/>
      <scheme val="minor"/>
    </font>
    <font>
      <sz val="11"/>
      <name val="Garamond"/>
      <family val="1"/>
    </font>
    <font>
      <sz val="20"/>
      <color rgb="FFF24F4F"/>
      <name val="Century Gothic"/>
      <family val="2"/>
    </font>
    <font>
      <sz val="11"/>
      <color rgb="FFC00000"/>
      <name val="Aptos Narrow"/>
      <family val="2"/>
      <scheme val="minor"/>
    </font>
    <font>
      <sz val="10"/>
      <color rgb="FFF24F4F"/>
      <name val="Century Gothic"/>
      <family val="2"/>
    </font>
    <font>
      <sz val="10"/>
      <name val="Garamond"/>
      <family val="1"/>
    </font>
    <font>
      <sz val="10"/>
      <color rgb="FF4C483D"/>
      <name val="Garamond"/>
      <family val="1"/>
    </font>
    <font>
      <sz val="9"/>
      <color rgb="FFC00000"/>
      <name val="Century Gothic"/>
      <family val="2"/>
    </font>
    <font>
      <sz val="10"/>
      <color rgb="FFFF0000"/>
      <name val="Garamond"/>
      <family val="1"/>
    </font>
    <font>
      <sz val="8"/>
      <color theme="1"/>
      <name val="Century Gothic"/>
      <family val="2"/>
    </font>
    <font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Garamond"/>
      <family val="1"/>
    </font>
    <font>
      <b/>
      <sz val="10"/>
      <color rgb="FF000000"/>
      <name val="Garamond"/>
      <family val="1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1"/>
      <color rgb="FFC00000"/>
      <name val="Century Gothic"/>
      <family val="2"/>
    </font>
    <font>
      <sz val="11"/>
      <color theme="0"/>
      <name val="Century Gothic"/>
      <family val="2"/>
    </font>
    <font>
      <sz val="10"/>
      <color rgb="FFC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rgb="FFC0000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164" fontId="9" fillId="0" borderId="0" xfId="0" applyNumberFormat="1" applyFont="1" applyAlignment="1">
      <alignment vertical="center" wrapText="1"/>
    </xf>
    <xf numFmtId="14" fontId="0" fillId="0" borderId="0" xfId="0" applyNumberFormat="1" applyAlignment="1">
      <alignment horizontal="center"/>
    </xf>
    <xf numFmtId="164" fontId="10" fillId="0" borderId="0" xfId="0" applyNumberFormat="1" applyFont="1" applyAlignment="1">
      <alignment vertical="center" wrapText="1"/>
    </xf>
    <xf numFmtId="164" fontId="8" fillId="0" borderId="0" xfId="0" applyNumberFormat="1" applyFont="1" applyAlignment="1">
      <alignment vertical="center" wrapText="1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 indent="1"/>
    </xf>
    <xf numFmtId="164" fontId="11" fillId="0" borderId="0" xfId="0" applyNumberFormat="1" applyFont="1" applyAlignment="1">
      <alignment vertical="center" wrapText="1"/>
    </xf>
    <xf numFmtId="0" fontId="9" fillId="0" borderId="0" xfId="0" applyFont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14" fillId="0" borderId="2" xfId="0" applyFont="1" applyBorder="1" applyAlignment="1">
      <alignment horizontal="center"/>
    </xf>
    <xf numFmtId="2" fontId="15" fillId="0" borderId="2" xfId="0" applyNumberFormat="1" applyFont="1" applyBorder="1" applyAlignment="1">
      <alignment horizontal="center" vertical="center" wrapText="1"/>
    </xf>
    <xf numFmtId="44" fontId="15" fillId="0" borderId="2" xfId="2" applyFont="1" applyBorder="1" applyAlignment="1">
      <alignment horizontal="right" vertical="center" wrapText="1" indent="1"/>
    </xf>
    <xf numFmtId="0" fontId="16" fillId="0" borderId="0" xfId="0" applyFont="1" applyAlignment="1">
      <alignment horizontal="left" vertical="center" wrapText="1" indent="1"/>
    </xf>
    <xf numFmtId="0" fontId="16" fillId="0" borderId="0" xfId="0" applyFont="1" applyAlignment="1">
      <alignment vertical="center" wrapText="1"/>
    </xf>
    <xf numFmtId="2" fontId="16" fillId="0" borderId="0" xfId="0" applyNumberFormat="1" applyFont="1" applyAlignment="1">
      <alignment horizontal="right" vertical="center" wrapText="1" indent="1"/>
    </xf>
    <xf numFmtId="44" fontId="16" fillId="0" borderId="0" xfId="2" applyFont="1" applyBorder="1" applyAlignment="1">
      <alignment horizontal="right" vertical="center" wrapText="1" indent="1"/>
    </xf>
    <xf numFmtId="0" fontId="17" fillId="0" borderId="0" xfId="0" applyFont="1" applyAlignment="1">
      <alignment horizontal="left" vertical="center" wrapText="1" indent="1"/>
    </xf>
    <xf numFmtId="0" fontId="17" fillId="0" borderId="0" xfId="0" applyFont="1" applyAlignment="1">
      <alignment vertical="center" wrapText="1"/>
    </xf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3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0" xfId="0" applyFont="1"/>
    <xf numFmtId="0" fontId="19" fillId="0" borderId="2" xfId="0" applyFont="1" applyBorder="1" applyAlignment="1">
      <alignment horizontal="right" vertical="center" wrapText="1"/>
    </xf>
    <xf numFmtId="43" fontId="19" fillId="0" borderId="2" xfId="1" applyFont="1" applyBorder="1" applyAlignment="1">
      <alignment horizontal="right" vertical="center" wrapText="1"/>
    </xf>
    <xf numFmtId="44" fontId="15" fillId="0" borderId="2" xfId="0" applyNumberFormat="1" applyFont="1" applyBorder="1" applyAlignment="1">
      <alignment horizontal="right" vertical="center" wrapText="1" indent="1"/>
    </xf>
    <xf numFmtId="0" fontId="20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 wrapText="1" indent="1"/>
    </xf>
    <xf numFmtId="44" fontId="17" fillId="0" borderId="0" xfId="0" applyNumberFormat="1" applyFont="1" applyAlignment="1">
      <alignment horizontal="right" vertical="center" wrapText="1" indent="1"/>
    </xf>
    <xf numFmtId="0" fontId="15" fillId="0" borderId="0" xfId="0" applyFont="1" applyAlignment="1">
      <alignment vertical="center" wrapText="1"/>
    </xf>
    <xf numFmtId="0" fontId="19" fillId="0" borderId="6" xfId="0" applyFont="1" applyBorder="1" applyAlignment="1">
      <alignment horizontal="right" vertical="center" wrapText="1"/>
    </xf>
    <xf numFmtId="44" fontId="15" fillId="0" borderId="6" xfId="0" applyNumberFormat="1" applyFont="1" applyBorder="1" applyAlignment="1">
      <alignment horizontal="right" vertical="center" wrapText="1" indent="1"/>
    </xf>
    <xf numFmtId="0" fontId="20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 wrapText="1" indent="1"/>
    </xf>
    <xf numFmtId="0" fontId="19" fillId="0" borderId="7" xfId="0" applyFont="1" applyBorder="1" applyAlignment="1">
      <alignment horizontal="right" vertical="center" wrapText="1"/>
    </xf>
    <xf numFmtId="44" fontId="15" fillId="0" borderId="7" xfId="0" applyNumberFormat="1" applyFont="1" applyBorder="1" applyAlignment="1">
      <alignment horizontal="right" vertical="center" wrapText="1" indent="1"/>
    </xf>
    <xf numFmtId="0" fontId="19" fillId="0" borderId="0" xfId="0" applyFont="1" applyAlignment="1">
      <alignment horizontal="right" vertical="center" wrapText="1" indent="1"/>
    </xf>
    <xf numFmtId="0" fontId="19" fillId="0" borderId="8" xfId="0" applyFont="1" applyBorder="1" applyAlignment="1">
      <alignment horizontal="right" vertical="center" wrapText="1"/>
    </xf>
    <xf numFmtId="44" fontId="19" fillId="0" borderId="8" xfId="0" applyNumberFormat="1" applyFont="1" applyBorder="1" applyAlignment="1">
      <alignment horizontal="right" vertical="center" wrapText="1" indent="1"/>
    </xf>
    <xf numFmtId="0" fontId="22" fillId="0" borderId="12" xfId="0" applyFont="1" applyBorder="1" applyAlignment="1">
      <alignment horizontal="left" wrapText="1"/>
    </xf>
    <xf numFmtId="0" fontId="22" fillId="0" borderId="13" xfId="0" applyFont="1" applyBorder="1" applyAlignment="1">
      <alignment horizontal="left"/>
    </xf>
    <xf numFmtId="0" fontId="22" fillId="0" borderId="15" xfId="0" applyFont="1" applyBorder="1" applyAlignment="1">
      <alignment horizontal="left"/>
    </xf>
    <xf numFmtId="0" fontId="22" fillId="0" borderId="16" xfId="0" applyFont="1" applyBorder="1" applyAlignment="1">
      <alignment horizontal="left"/>
    </xf>
    <xf numFmtId="0" fontId="22" fillId="0" borderId="18" xfId="0" applyFont="1" applyBorder="1" applyAlignment="1">
      <alignment horizontal="left"/>
    </xf>
    <xf numFmtId="0" fontId="22" fillId="0" borderId="22" xfId="0" applyFont="1" applyBorder="1" applyAlignment="1">
      <alignment horizontal="left"/>
    </xf>
    <xf numFmtId="0" fontId="12" fillId="0" borderId="0" xfId="0" applyFont="1" applyAlignment="1">
      <alignment horizontal="right"/>
    </xf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13" fillId="2" borderId="0" xfId="0" applyFont="1" applyFill="1" applyAlignment="1">
      <alignment horizontal="center" vertical="center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8" fillId="0" borderId="3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18" fillId="0" borderId="5" xfId="0" applyFont="1" applyBorder="1" applyAlignment="1">
      <alignment horizontal="left"/>
    </xf>
    <xf numFmtId="0" fontId="21" fillId="2" borderId="9" xfId="0" applyFont="1" applyFill="1" applyBorder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22" fillId="0" borderId="13" xfId="0" applyNumberFormat="1" applyFont="1" applyBorder="1" applyAlignment="1">
      <alignment horizontal="left"/>
    </xf>
    <xf numFmtId="0" fontId="22" fillId="0" borderId="13" xfId="0" applyFont="1" applyBorder="1" applyAlignment="1">
      <alignment horizontal="left"/>
    </xf>
    <xf numFmtId="0" fontId="22" fillId="0" borderId="14" xfId="0" applyFont="1" applyBorder="1" applyAlignment="1">
      <alignment horizontal="left"/>
    </xf>
    <xf numFmtId="0" fontId="22" fillId="0" borderId="16" xfId="0" applyFont="1" applyBorder="1" applyAlignment="1">
      <alignment horizontal="left"/>
    </xf>
    <xf numFmtId="0" fontId="22" fillId="0" borderId="17" xfId="0" applyFont="1" applyBorder="1" applyAlignment="1">
      <alignment horizontal="left"/>
    </xf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22" fillId="0" borderId="22" xfId="0" applyFont="1" applyBorder="1" applyAlignment="1">
      <alignment horizontal="left"/>
    </xf>
    <xf numFmtId="0" fontId="22" fillId="0" borderId="23" xfId="0" applyFont="1" applyBorder="1" applyAlignment="1">
      <alignment horizontal="lef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607392</xdr:colOff>
      <xdr:row>0</xdr:row>
      <xdr:rowOff>33131</xdr:rowOff>
    </xdr:from>
    <xdr:to>
      <xdr:col>6</xdr:col>
      <xdr:colOff>1093167</xdr:colOff>
      <xdr:row>5</xdr:row>
      <xdr:rowOff>110820</xdr:rowOff>
    </xdr:to>
    <xdr:pic>
      <xdr:nvPicPr>
        <xdr:cNvPr id="2" name="Picture 1" descr="A carrot with leaves on top&#10;&#10;Description automatically generated">
          <a:extLst>
            <a:ext uri="{FF2B5EF4-FFF2-40B4-BE49-F238E27FC236}">
              <a16:creationId xmlns:a16="http://schemas.microsoft.com/office/drawing/2014/main" id="{D17E5B38-27B7-AC43-A6BB-05BD478BE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40783" y="33131"/>
          <a:ext cx="1280906" cy="117099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cbe0b1df08b2f33/Documents/Farm%20Invoices/Invoice%20Template%20Macrosheet.xlsm" TargetMode="External"/><Relationship Id="rId1" Type="http://schemas.openxmlformats.org/officeDocument/2006/relationships/externalLinkPath" Target="https://d.docs.live.net/5cbe0b1df08b2f33/Documents/Farm%20Invoices/Invoice%20Template%20Macroshe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 Template"/>
      <sheetName val="Customers"/>
      <sheetName val="Record of Invoices"/>
      <sheetName val="Invoice Template Macroshee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6C43-72C1-4D27-859D-A0F49295F880}">
  <sheetPr codeName="Sheet1"/>
  <dimension ref="A1:U53"/>
  <sheetViews>
    <sheetView tabSelected="1" view="pageBreakPreview" zoomScale="115" zoomScaleNormal="100" zoomScaleSheetLayoutView="115" workbookViewId="0">
      <selection activeCell="F4" sqref="F4"/>
    </sheetView>
  </sheetViews>
  <sheetFormatPr baseColWidth="10" defaultColWidth="8.83203125" defaultRowHeight="15" x14ac:dyDescent="0.2"/>
  <cols>
    <col min="1" max="1" width="25.6640625" bestFit="1" customWidth="1"/>
    <col min="4" max="4" width="14.6640625" customWidth="1"/>
    <col min="5" max="5" width="13.33203125" bestFit="1" customWidth="1"/>
    <col min="6" max="6" width="10.5" customWidth="1"/>
    <col min="7" max="7" width="14.83203125" bestFit="1" customWidth="1"/>
    <col min="18" max="18" width="50.5" customWidth="1"/>
  </cols>
  <sheetData>
    <row r="1" spans="1:21" ht="27" x14ac:dyDescent="0.2">
      <c r="A1" s="61" t="s">
        <v>0</v>
      </c>
      <c r="B1" s="61"/>
      <c r="C1" s="61"/>
      <c r="D1" s="61"/>
    </row>
    <row r="2" spans="1:21" x14ac:dyDescent="0.2">
      <c r="A2" s="62" t="s">
        <v>1</v>
      </c>
      <c r="B2" s="63"/>
      <c r="C2" s="63"/>
      <c r="D2" s="63"/>
    </row>
    <row r="3" spans="1:21" x14ac:dyDescent="0.2">
      <c r="A3" s="63"/>
      <c r="B3" s="63"/>
      <c r="C3" s="63"/>
      <c r="D3" s="63"/>
    </row>
    <row r="4" spans="1:21" x14ac:dyDescent="0.2">
      <c r="A4" s="63"/>
      <c r="B4" s="63"/>
      <c r="C4" s="63"/>
      <c r="D4" s="63"/>
    </row>
    <row r="5" spans="1:21" x14ac:dyDescent="0.2">
      <c r="A5" s="63"/>
      <c r="B5" s="63"/>
      <c r="C5" s="63"/>
      <c r="D5" s="63"/>
    </row>
    <row r="6" spans="1:21" ht="16" thickBot="1" x14ac:dyDescent="0.25">
      <c r="A6" s="64"/>
      <c r="B6" s="64"/>
      <c r="C6" s="64"/>
      <c r="D6" s="64"/>
      <c r="E6" s="1"/>
      <c r="F6" s="1"/>
      <c r="G6" s="1"/>
    </row>
    <row r="7" spans="1:21" ht="15" customHeight="1" thickTop="1" x14ac:dyDescent="0.2">
      <c r="R7" s="2"/>
      <c r="S7" s="2"/>
      <c r="T7" s="2"/>
      <c r="U7" s="2"/>
    </row>
    <row r="8" spans="1:21" ht="16" x14ac:dyDescent="0.2">
      <c r="A8" s="3" t="s">
        <v>2</v>
      </c>
      <c r="S8" s="4"/>
    </row>
    <row r="9" spans="1:21" x14ac:dyDescent="0.2">
      <c r="A9" s="5" t="s">
        <v>3</v>
      </c>
      <c r="B9" s="5"/>
      <c r="S9" s="6"/>
    </row>
    <row r="10" spans="1:21" ht="16.5" customHeight="1" x14ac:dyDescent="0.2">
      <c r="A10" s="5" t="str">
        <f>_xlfn.IFNA(VLOOKUP($A$9,[1]!Customers[#Data],2,0),"")</f>
        <v>Heath Road</v>
      </c>
      <c r="B10" s="5"/>
      <c r="E10" s="65" t="s">
        <v>4</v>
      </c>
      <c r="F10" s="65"/>
      <c r="G10" s="7">
        <f ca="1">TODAY()</f>
        <v>46112</v>
      </c>
      <c r="S10" s="6"/>
      <c r="T10" s="8"/>
      <c r="U10" s="9"/>
    </row>
    <row r="11" spans="1:21" x14ac:dyDescent="0.2">
      <c r="A11" s="5" t="str">
        <f>_xlfn.IFNA(VLOOKUP($A$9,[1]!Customers[#Data],3,0),"")</f>
        <v>Rollesby</v>
      </c>
      <c r="B11" s="5"/>
      <c r="E11" s="65" t="s">
        <v>5</v>
      </c>
      <c r="F11" s="65"/>
      <c r="G11" s="10">
        <v>5386</v>
      </c>
      <c r="S11" s="6"/>
      <c r="T11" s="8"/>
      <c r="U11" s="11"/>
    </row>
    <row r="12" spans="1:21" x14ac:dyDescent="0.2">
      <c r="A12" s="5" t="str">
        <f>_xlfn.IFNA(VLOOKUP($A$9,[1]!Customers[#Data],4,0),"")</f>
        <v>Gt. Yarmouth</v>
      </c>
      <c r="B12" s="5"/>
      <c r="E12" s="65" t="s">
        <v>6</v>
      </c>
      <c r="F12" s="65"/>
      <c r="G12" s="12">
        <v>14</v>
      </c>
      <c r="S12" s="6"/>
      <c r="T12" s="8"/>
      <c r="U12" s="13"/>
    </row>
    <row r="13" spans="1:21" x14ac:dyDescent="0.2">
      <c r="A13" s="5" t="str">
        <f>_xlfn.IFNA(VLOOKUP($A$9,[1]!Customers[#Data],5,0),"")</f>
        <v>NR25 5HJ</v>
      </c>
      <c r="B13" s="5"/>
      <c r="S13" s="6"/>
      <c r="T13" s="8"/>
      <c r="U13" s="6"/>
    </row>
    <row r="14" spans="1:21" x14ac:dyDescent="0.2">
      <c r="A14" s="5"/>
      <c r="B14" s="5"/>
      <c r="S14" s="6"/>
      <c r="T14" s="8"/>
      <c r="U14" s="6"/>
    </row>
    <row r="15" spans="1:21" ht="16" thickBot="1" x14ac:dyDescent="0.25">
      <c r="A15" s="1"/>
      <c r="B15" s="1"/>
      <c r="C15" s="1"/>
      <c r="D15" s="1"/>
      <c r="E15" s="1"/>
      <c r="F15" s="1"/>
      <c r="G15" s="1"/>
      <c r="R15" s="14"/>
      <c r="S15" s="6"/>
      <c r="T15" s="15"/>
      <c r="U15" s="6"/>
    </row>
    <row r="16" spans="1:21" ht="16" thickTop="1" x14ac:dyDescent="0.2">
      <c r="R16" s="16"/>
      <c r="S16" s="57"/>
      <c r="T16" s="57"/>
    </row>
    <row r="17" spans="1:21" x14ac:dyDescent="0.2">
      <c r="A17" s="66" t="s">
        <v>7</v>
      </c>
      <c r="B17" s="66"/>
      <c r="C17" s="66"/>
      <c r="D17" s="66"/>
      <c r="E17" s="17" t="s">
        <v>8</v>
      </c>
      <c r="F17" s="18" t="s">
        <v>9</v>
      </c>
      <c r="G17" s="17" t="s">
        <v>10</v>
      </c>
    </row>
    <row r="18" spans="1:21" x14ac:dyDescent="0.2">
      <c r="A18" s="67" t="s">
        <v>11</v>
      </c>
      <c r="B18" s="67"/>
      <c r="C18" s="67"/>
      <c r="D18" s="67"/>
      <c r="E18" s="19"/>
      <c r="F18" s="20">
        <v>330.4</v>
      </c>
      <c r="G18" s="21">
        <f>IF(F18&lt;&gt;"",F18*3.25,"")</f>
        <v>1073.8</v>
      </c>
      <c r="R18" s="22"/>
      <c r="S18" s="23"/>
    </row>
    <row r="19" spans="1:21" x14ac:dyDescent="0.2">
      <c r="A19" s="68"/>
      <c r="B19" s="69"/>
      <c r="C19" s="69"/>
      <c r="D19" s="70"/>
      <c r="E19" s="19"/>
      <c r="F19" s="20"/>
      <c r="G19" s="21" t="str">
        <f t="shared" ref="G19:G41" si="0">IF(F19&lt;&gt;"",F19*3.25,"")</f>
        <v/>
      </c>
      <c r="R19" s="22"/>
      <c r="S19" s="23"/>
      <c r="T19" s="24"/>
      <c r="U19" s="25" t="str">
        <f t="shared" ref="U19:U37" si="1">IF(T19&lt;&gt;"",T19*3.5,"")</f>
        <v/>
      </c>
    </row>
    <row r="20" spans="1:21" x14ac:dyDescent="0.2">
      <c r="A20" s="68"/>
      <c r="B20" s="69"/>
      <c r="C20" s="69"/>
      <c r="D20" s="70"/>
      <c r="E20" s="19"/>
      <c r="F20" s="20"/>
      <c r="G20" s="21" t="str">
        <f t="shared" si="0"/>
        <v/>
      </c>
      <c r="R20" s="22"/>
      <c r="S20" s="23"/>
      <c r="T20" s="24"/>
      <c r="U20" s="25" t="str">
        <f t="shared" si="1"/>
        <v/>
      </c>
    </row>
    <row r="21" spans="1:21" x14ac:dyDescent="0.2">
      <c r="A21" s="58"/>
      <c r="B21" s="59"/>
      <c r="C21" s="59"/>
      <c r="D21" s="60"/>
      <c r="E21" s="19"/>
      <c r="F21" s="20"/>
      <c r="G21" s="21" t="str">
        <f t="shared" si="0"/>
        <v/>
      </c>
      <c r="R21" s="22"/>
      <c r="S21" s="23"/>
      <c r="T21" s="24"/>
      <c r="U21" s="25" t="str">
        <f t="shared" si="1"/>
        <v/>
      </c>
    </row>
    <row r="22" spans="1:21" x14ac:dyDescent="0.2">
      <c r="A22" s="58"/>
      <c r="B22" s="59"/>
      <c r="C22" s="59"/>
      <c r="D22" s="60"/>
      <c r="E22" s="19"/>
      <c r="F22" s="20"/>
      <c r="G22" s="21" t="str">
        <f t="shared" si="0"/>
        <v/>
      </c>
      <c r="R22" s="22"/>
      <c r="S22" s="23"/>
      <c r="T22" s="24"/>
      <c r="U22" s="25" t="str">
        <f t="shared" si="1"/>
        <v/>
      </c>
    </row>
    <row r="23" spans="1:21" x14ac:dyDescent="0.2">
      <c r="A23" s="58"/>
      <c r="B23" s="59"/>
      <c r="C23" s="59"/>
      <c r="D23" s="60"/>
      <c r="E23" s="19"/>
      <c r="F23" s="20"/>
      <c r="G23" s="21" t="str">
        <f t="shared" si="0"/>
        <v/>
      </c>
      <c r="R23" s="26"/>
      <c r="S23" s="27"/>
      <c r="T23" s="24"/>
      <c r="U23" s="25" t="str">
        <f t="shared" si="1"/>
        <v/>
      </c>
    </row>
    <row r="24" spans="1:21" x14ac:dyDescent="0.2">
      <c r="A24" s="28"/>
      <c r="B24" s="29"/>
      <c r="C24" s="29"/>
      <c r="D24" s="30"/>
      <c r="E24" s="19"/>
      <c r="F24" s="20"/>
      <c r="G24" s="21" t="str">
        <f t="shared" si="0"/>
        <v/>
      </c>
      <c r="R24" s="26"/>
      <c r="S24" s="27"/>
      <c r="T24" s="24"/>
      <c r="U24" s="25"/>
    </row>
    <row r="25" spans="1:21" x14ac:dyDescent="0.2">
      <c r="A25" s="28"/>
      <c r="B25" s="29"/>
      <c r="C25" s="29"/>
      <c r="D25" s="30"/>
      <c r="E25" s="19"/>
      <c r="F25" s="20"/>
      <c r="G25" s="21" t="str">
        <f t="shared" si="0"/>
        <v/>
      </c>
      <c r="R25" s="26"/>
      <c r="S25" s="27"/>
      <c r="T25" s="24"/>
      <c r="U25" s="25"/>
    </row>
    <row r="26" spans="1:21" x14ac:dyDescent="0.2">
      <c r="A26" s="28"/>
      <c r="B26" s="29"/>
      <c r="C26" s="29"/>
      <c r="D26" s="30"/>
      <c r="E26" s="19"/>
      <c r="F26" s="20"/>
      <c r="G26" s="21" t="str">
        <f t="shared" si="0"/>
        <v/>
      </c>
      <c r="R26" s="26"/>
      <c r="S26" s="27"/>
      <c r="T26" s="24"/>
      <c r="U26" s="25"/>
    </row>
    <row r="27" spans="1:21" x14ac:dyDescent="0.2">
      <c r="A27" s="28"/>
      <c r="B27" s="29"/>
      <c r="C27" s="29"/>
      <c r="D27" s="30"/>
      <c r="E27" s="19"/>
      <c r="F27" s="20"/>
      <c r="G27" s="21" t="str">
        <f t="shared" si="0"/>
        <v/>
      </c>
      <c r="R27" s="26"/>
      <c r="S27" s="27"/>
      <c r="T27" s="24"/>
      <c r="U27" s="25"/>
    </row>
    <row r="28" spans="1:21" x14ac:dyDescent="0.2">
      <c r="A28" s="58"/>
      <c r="B28" s="59"/>
      <c r="C28" s="59"/>
      <c r="D28" s="60"/>
      <c r="E28" s="19"/>
      <c r="F28" s="20"/>
      <c r="G28" s="21" t="str">
        <f t="shared" si="0"/>
        <v/>
      </c>
      <c r="T28" s="24"/>
      <c r="U28" s="25" t="str">
        <f t="shared" si="1"/>
        <v/>
      </c>
    </row>
    <row r="29" spans="1:21" x14ac:dyDescent="0.2">
      <c r="A29" s="58"/>
      <c r="B29" s="59"/>
      <c r="C29" s="59"/>
      <c r="D29" s="60"/>
      <c r="E29" s="19"/>
      <c r="F29" s="20"/>
      <c r="G29" s="21" t="str">
        <f t="shared" si="0"/>
        <v/>
      </c>
      <c r="R29" s="22"/>
      <c r="S29" s="23"/>
      <c r="T29" s="24"/>
      <c r="U29" s="25" t="str">
        <f t="shared" si="1"/>
        <v/>
      </c>
    </row>
    <row r="30" spans="1:21" x14ac:dyDescent="0.2">
      <c r="A30" s="68"/>
      <c r="B30" s="69"/>
      <c r="C30" s="69"/>
      <c r="D30" s="70"/>
      <c r="E30" s="19"/>
      <c r="F30" s="20"/>
      <c r="G30" s="21" t="str">
        <f t="shared" si="0"/>
        <v/>
      </c>
      <c r="T30" s="24"/>
      <c r="U30" s="25" t="str">
        <f t="shared" si="1"/>
        <v/>
      </c>
    </row>
    <row r="31" spans="1:21" x14ac:dyDescent="0.2">
      <c r="A31" s="68"/>
      <c r="B31" s="69"/>
      <c r="C31" s="69"/>
      <c r="D31" s="70"/>
      <c r="E31" s="19"/>
      <c r="F31" s="20"/>
      <c r="G31" s="21" t="str">
        <f t="shared" si="0"/>
        <v/>
      </c>
      <c r="T31" s="24"/>
      <c r="U31" s="25" t="str">
        <f t="shared" si="1"/>
        <v/>
      </c>
    </row>
    <row r="32" spans="1:21" x14ac:dyDescent="0.2">
      <c r="A32" s="68"/>
      <c r="B32" s="69"/>
      <c r="C32" s="69"/>
      <c r="D32" s="70"/>
      <c r="E32" s="19"/>
      <c r="F32" s="20"/>
      <c r="G32" s="21" t="str">
        <f t="shared" si="0"/>
        <v/>
      </c>
      <c r="T32" s="24"/>
      <c r="U32" s="25" t="str">
        <f t="shared" si="1"/>
        <v/>
      </c>
    </row>
    <row r="33" spans="1:21" x14ac:dyDescent="0.2">
      <c r="A33" s="68"/>
      <c r="B33" s="69"/>
      <c r="C33" s="69"/>
      <c r="D33" s="70"/>
      <c r="E33" s="19"/>
      <c r="F33" s="20"/>
      <c r="G33" s="21" t="str">
        <f t="shared" si="0"/>
        <v/>
      </c>
      <c r="T33" s="24"/>
      <c r="U33" s="25" t="str">
        <f t="shared" si="1"/>
        <v/>
      </c>
    </row>
    <row r="34" spans="1:21" x14ac:dyDescent="0.2">
      <c r="A34" s="71"/>
      <c r="B34" s="72"/>
      <c r="C34" s="72"/>
      <c r="D34" s="73"/>
      <c r="E34" s="19"/>
      <c r="F34" s="20"/>
      <c r="G34" s="21" t="str">
        <f t="shared" si="0"/>
        <v/>
      </c>
      <c r="T34" s="24"/>
      <c r="U34" s="25" t="str">
        <f t="shared" si="1"/>
        <v/>
      </c>
    </row>
    <row r="35" spans="1:21" x14ac:dyDescent="0.2">
      <c r="A35" s="68"/>
      <c r="B35" s="69"/>
      <c r="C35" s="69"/>
      <c r="D35" s="70"/>
      <c r="E35" s="19"/>
      <c r="F35" s="20"/>
      <c r="G35" s="21" t="str">
        <f t="shared" si="0"/>
        <v/>
      </c>
      <c r="T35" s="24"/>
      <c r="U35" s="25" t="str">
        <f t="shared" si="1"/>
        <v/>
      </c>
    </row>
    <row r="36" spans="1:21" x14ac:dyDescent="0.2">
      <c r="A36" s="31"/>
      <c r="B36" s="32"/>
      <c r="C36" s="32"/>
      <c r="D36" s="33"/>
      <c r="E36" s="19"/>
      <c r="F36" s="20"/>
      <c r="G36" s="21" t="str">
        <f t="shared" si="0"/>
        <v/>
      </c>
      <c r="T36" s="24"/>
      <c r="U36" s="25"/>
    </row>
    <row r="37" spans="1:21" x14ac:dyDescent="0.2">
      <c r="A37" s="68"/>
      <c r="B37" s="69"/>
      <c r="C37" s="69"/>
      <c r="D37" s="70"/>
      <c r="E37" s="19"/>
      <c r="F37" s="20"/>
      <c r="G37" s="21" t="str">
        <f t="shared" si="0"/>
        <v/>
      </c>
      <c r="T37" s="24"/>
      <c r="U37" s="25" t="str">
        <f t="shared" si="1"/>
        <v/>
      </c>
    </row>
    <row r="38" spans="1:21" x14ac:dyDescent="0.2">
      <c r="A38" s="68"/>
      <c r="B38" s="69"/>
      <c r="C38" s="69"/>
      <c r="D38" s="70"/>
      <c r="E38" s="19"/>
      <c r="F38" s="20"/>
      <c r="G38" s="21" t="str">
        <f t="shared" si="0"/>
        <v/>
      </c>
      <c r="T38" s="24"/>
      <c r="U38" s="25"/>
    </row>
    <row r="39" spans="1:21" x14ac:dyDescent="0.2">
      <c r="A39" s="67"/>
      <c r="B39" s="67"/>
      <c r="C39" s="67"/>
      <c r="D39" s="67"/>
      <c r="E39" s="19"/>
      <c r="F39" s="20"/>
      <c r="G39" s="21" t="str">
        <f t="shared" si="0"/>
        <v/>
      </c>
      <c r="T39" s="24"/>
      <c r="U39" s="25"/>
    </row>
    <row r="40" spans="1:21" x14ac:dyDescent="0.2">
      <c r="A40" s="67"/>
      <c r="B40" s="67"/>
      <c r="C40" s="67"/>
      <c r="D40" s="67"/>
      <c r="E40" s="19"/>
      <c r="F40" s="20"/>
      <c r="G40" s="21" t="str">
        <f t="shared" si="0"/>
        <v/>
      </c>
      <c r="T40" s="24"/>
      <c r="U40" s="25"/>
    </row>
    <row r="41" spans="1:21" x14ac:dyDescent="0.2">
      <c r="A41" s="67"/>
      <c r="B41" s="67"/>
      <c r="C41" s="67"/>
      <c r="D41" s="67"/>
      <c r="E41" s="19"/>
      <c r="F41" s="20"/>
      <c r="G41" s="21" t="str">
        <f t="shared" si="0"/>
        <v/>
      </c>
      <c r="T41" s="24"/>
      <c r="U41" s="25"/>
    </row>
    <row r="42" spans="1:21" x14ac:dyDescent="0.2">
      <c r="A42" s="34"/>
      <c r="B42" s="34"/>
      <c r="C42" s="34"/>
      <c r="D42" s="34"/>
      <c r="E42" s="35" t="s">
        <v>12</v>
      </c>
      <c r="F42" s="36">
        <f>SUM(F18:F41)</f>
        <v>330.4</v>
      </c>
      <c r="G42" s="37"/>
      <c r="R42" s="38"/>
      <c r="S42" s="39"/>
      <c r="T42" s="39"/>
      <c r="U42" s="40"/>
    </row>
    <row r="43" spans="1:21" x14ac:dyDescent="0.2">
      <c r="A43" s="34"/>
      <c r="B43" s="34"/>
      <c r="C43" s="34"/>
      <c r="D43" s="34"/>
      <c r="E43" s="41"/>
      <c r="F43" s="42" t="s">
        <v>13</v>
      </c>
      <c r="G43" s="43">
        <f>SUM(G18:G42)</f>
        <v>1073.8</v>
      </c>
      <c r="R43" s="38"/>
      <c r="S43" s="44"/>
      <c r="T43" s="44"/>
    </row>
    <row r="44" spans="1:21" x14ac:dyDescent="0.2">
      <c r="A44" s="34"/>
      <c r="B44" s="34"/>
      <c r="C44" s="34"/>
      <c r="D44" s="34"/>
      <c r="E44" s="45"/>
      <c r="F44" s="46" t="s">
        <v>14</v>
      </c>
      <c r="G44" s="47">
        <f>G43*20%</f>
        <v>214.76</v>
      </c>
      <c r="R44" s="38"/>
      <c r="S44" s="44"/>
      <c r="T44" s="44"/>
      <c r="U44" s="44"/>
    </row>
    <row r="45" spans="1:21" ht="16" thickBot="1" x14ac:dyDescent="0.25">
      <c r="A45" s="34"/>
      <c r="B45" s="34"/>
      <c r="C45" s="34"/>
      <c r="D45" s="34"/>
      <c r="E45" s="48"/>
      <c r="F45" s="49" t="s">
        <v>15</v>
      </c>
      <c r="G45" s="50">
        <f>SUM(G43:G44)</f>
        <v>1288.56</v>
      </c>
    </row>
    <row r="46" spans="1:21" ht="16" thickTop="1" x14ac:dyDescent="0.2"/>
    <row r="47" spans="1:21" x14ac:dyDescent="0.2">
      <c r="G47" s="44" t="s">
        <v>16</v>
      </c>
    </row>
    <row r="49" spans="1:7" x14ac:dyDescent="0.2">
      <c r="A49" s="74" t="s">
        <v>17</v>
      </c>
      <c r="B49" s="75"/>
      <c r="C49" s="75"/>
      <c r="D49" s="76"/>
      <c r="E49" s="77" t="s">
        <v>18</v>
      </c>
      <c r="F49" s="75"/>
      <c r="G49" s="75"/>
    </row>
    <row r="50" spans="1:7" x14ac:dyDescent="0.2">
      <c r="A50" s="51" t="s">
        <v>19</v>
      </c>
      <c r="B50" s="78">
        <v>4761116</v>
      </c>
      <c r="C50" s="78"/>
      <c r="D50" s="78"/>
      <c r="E50" s="52" t="s">
        <v>20</v>
      </c>
      <c r="F50" s="79">
        <v>72205385</v>
      </c>
      <c r="G50" s="80"/>
    </row>
    <row r="51" spans="1:7" x14ac:dyDescent="0.2">
      <c r="A51" s="53" t="s">
        <v>21</v>
      </c>
      <c r="B51" s="81">
        <v>731972228</v>
      </c>
      <c r="C51" s="81"/>
      <c r="D51" s="81"/>
      <c r="E51" s="54" t="s">
        <v>22</v>
      </c>
      <c r="F51" s="81" t="s">
        <v>23</v>
      </c>
      <c r="G51" s="82"/>
    </row>
    <row r="52" spans="1:7" x14ac:dyDescent="0.2">
      <c r="A52" s="53" t="s">
        <v>24</v>
      </c>
      <c r="B52" s="81" t="s">
        <v>25</v>
      </c>
      <c r="C52" s="81"/>
      <c r="D52" s="81"/>
      <c r="E52" s="54" t="s">
        <v>26</v>
      </c>
      <c r="F52" s="81" t="s">
        <v>27</v>
      </c>
      <c r="G52" s="82"/>
    </row>
    <row r="53" spans="1:7" x14ac:dyDescent="0.2">
      <c r="A53" s="55" t="s">
        <v>28</v>
      </c>
      <c r="B53" s="83" t="s">
        <v>29</v>
      </c>
      <c r="C53" s="84"/>
      <c r="D53" s="85"/>
      <c r="E53" s="56" t="s">
        <v>30</v>
      </c>
      <c r="F53" s="86" t="s">
        <v>31</v>
      </c>
      <c r="G53" s="87"/>
    </row>
  </sheetData>
  <mergeCells count="36">
    <mergeCell ref="B51:D51"/>
    <mergeCell ref="F51:G51"/>
    <mergeCell ref="B52:D52"/>
    <mergeCell ref="F52:G52"/>
    <mergeCell ref="B53:D53"/>
    <mergeCell ref="F53:G53"/>
    <mergeCell ref="A40:D40"/>
    <mergeCell ref="A41:D41"/>
    <mergeCell ref="A49:D49"/>
    <mergeCell ref="E49:G49"/>
    <mergeCell ref="B50:D50"/>
    <mergeCell ref="F50:G50"/>
    <mergeCell ref="A39:D39"/>
    <mergeCell ref="A23:D23"/>
    <mergeCell ref="A28:D28"/>
    <mergeCell ref="A29:D29"/>
    <mergeCell ref="A30:D30"/>
    <mergeCell ref="A31:D31"/>
    <mergeCell ref="A32:D32"/>
    <mergeCell ref="A33:D33"/>
    <mergeCell ref="A34:D34"/>
    <mergeCell ref="A35:D35"/>
    <mergeCell ref="A37:D37"/>
    <mergeCell ref="A38:D38"/>
    <mergeCell ref="S16:T16"/>
    <mergeCell ref="A22:D22"/>
    <mergeCell ref="A1:D1"/>
    <mergeCell ref="A2:D6"/>
    <mergeCell ref="E10:F10"/>
    <mergeCell ref="E11:F11"/>
    <mergeCell ref="E12:F12"/>
    <mergeCell ref="A17:D17"/>
    <mergeCell ref="A18:D18"/>
    <mergeCell ref="A19:D19"/>
    <mergeCell ref="A20:D20"/>
    <mergeCell ref="A21:D21"/>
  </mergeCells>
  <dataValidations count="1">
    <dataValidation type="list" allowBlank="1" showInputMessage="1" showErrorMessage="1" sqref="U12 G12" xr:uid="{3B948453-BC6A-43CF-ACBC-FB1CC436D263}">
      <formula1>"7,14,21,30, ON RECIEPT"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3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Farrell</dc:creator>
  <cp:keywords/>
  <dc:description/>
  <cp:lastModifiedBy>Andrew Farrell</cp:lastModifiedBy>
  <cp:revision/>
  <dcterms:created xsi:type="dcterms:W3CDTF">2026-01-09T08:42:12Z</dcterms:created>
  <dcterms:modified xsi:type="dcterms:W3CDTF">2026-03-31T20:30:51Z</dcterms:modified>
  <cp:category/>
  <cp:contentStatus/>
</cp:coreProperties>
</file>